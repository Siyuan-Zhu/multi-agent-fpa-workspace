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2027_Budget_Model" sheetId="1" state="visible" r:id="rId1"/>
    <sheet name="Executive_Summary" sheetId="2" state="visible" r:id="rId2"/>
    <sheet name="ADR_Audit_Tr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1" fillId="2" borderId="0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s="1" t="inlineStr">
        <is>
          <t>Line_ID</t>
        </is>
      </c>
      <c r="B1" s="1" t="inlineStr">
        <is>
          <t>Division_ID</t>
        </is>
      </c>
      <c r="C1" s="1" t="inlineStr">
        <is>
          <t>Division_Name</t>
        </is>
      </c>
      <c r="D1" s="1" t="inlineStr">
        <is>
          <t>Fund_Type</t>
        </is>
      </c>
      <c r="E1" s="1" t="inlineStr">
        <is>
          <t>Cost_Center</t>
        </is>
      </c>
      <c r="F1" s="1" t="inlineStr">
        <is>
          <t>Line_Item_Name</t>
        </is>
      </c>
      <c r="G1" s="1" t="inlineStr">
        <is>
          <t>Expense_Category</t>
        </is>
      </c>
      <c r="H1" s="1" t="inlineStr">
        <is>
          <t>P12M_Recurring_NIU</t>
        </is>
      </c>
      <c r="I1" s="1" t="inlineStr">
        <is>
          <t>TTM_Excluded_One_Off_NIU</t>
        </is>
      </c>
      <c r="J1" s="1" t="inlineStr">
        <is>
          <t>TTM_Recurring_NIU</t>
        </is>
      </c>
      <c r="K1" s="1" t="inlineStr">
        <is>
          <t>YoY_Growth_Pct</t>
        </is>
      </c>
      <c r="L1" s="1" t="inlineStr">
        <is>
          <t>Baseline_Growth_Driver_Pct</t>
        </is>
      </c>
      <c r="M1" s="1" t="inlineStr">
        <is>
          <t>Rough_Budget_NIU</t>
        </is>
      </c>
      <c r="N1" s="1" t="inlineStr">
        <is>
          <t>Recommended_Adjustment_Pct</t>
        </is>
      </c>
      <c r="O1" s="1" t="inlineStr">
        <is>
          <t>Final_Budget_NIU</t>
        </is>
      </c>
      <c r="P1" s="1" t="inlineStr">
        <is>
          <t>Cross_Fund_Transfer_NIU</t>
        </is>
      </c>
      <c r="Q1" s="1" t="inlineStr">
        <is>
          <t>Ring_Fenced_Flag</t>
        </is>
      </c>
      <c r="R1" s="1" t="inlineStr">
        <is>
          <t>Analyst_Override_Flag</t>
        </is>
      </c>
      <c r="S1" s="1" t="inlineStr">
        <is>
          <t>Review_Disposition</t>
        </is>
      </c>
      <c r="T1" s="1" t="inlineStr">
        <is>
          <t>Analyst_Commentary</t>
        </is>
      </c>
    </row>
    <row r="2">
      <c r="A2" s="2" t="inlineStr">
        <is>
          <t>LI-01</t>
        </is>
      </c>
      <c r="B2" s="2" t="inlineStr">
        <is>
          <t>DIV-A</t>
        </is>
      </c>
      <c r="C2" s="2" t="inlineStr">
        <is>
          <t>Division A — Core Platform</t>
        </is>
      </c>
      <c r="D2" s="2" t="inlineStr">
        <is>
          <t>OPERATING</t>
        </is>
      </c>
      <c r="E2" s="2" t="inlineStr">
        <is>
          <t>CC-101</t>
        </is>
      </c>
      <c r="F2" s="2" t="inlineStr">
        <is>
          <t>Platform Core Compute Clusters</t>
        </is>
      </c>
      <c r="G2" s="2" t="inlineStr">
        <is>
          <t>Contractual Infrastructure</t>
        </is>
      </c>
      <c r="H2" s="2" t="n">
        <v>504</v>
      </c>
      <c r="I2" s="2" t="n">
        <v>0</v>
      </c>
      <c r="J2" s="2" t="n">
        <v>531.71</v>
      </c>
      <c r="K2" s="2" t="n">
        <v>5.5</v>
      </c>
      <c r="L2" s="2" t="n">
        <v>5.62</v>
      </c>
      <c r="M2" s="2" t="n">
        <v>561.59</v>
      </c>
      <c r="N2" s="2" t="n">
        <v>0</v>
      </c>
      <c r="O2" s="2" t="n">
        <v>561.59</v>
      </c>
      <c r="P2" s="2" t="n">
        <v>0</v>
      </c>
      <c r="Q2" s="2" t="inlineStr">
        <is>
          <t>FALSE</t>
        </is>
      </c>
      <c r="R2" s="2" t="inlineStr">
        <is>
          <t>UNLOCKED</t>
        </is>
      </c>
      <c r="S2" s="5" t="inlineStr">
        <is>
          <t>PROTECTED_NO_CUT</t>
        </is>
      </c>
      <c r="T2" s="2" t="inlineStr">
        <is>
          <t>ADR-0003 enforced: Contractual Infrastructure is protected from automated percentage compression (0.00% cut). [Pass 2 re-run: +1.50% macro driver update applied]</t>
        </is>
      </c>
    </row>
    <row r="3">
      <c r="A3" s="2" t="inlineStr">
        <is>
          <t>LI-02</t>
        </is>
      </c>
      <c r="B3" s="2" t="inlineStr">
        <is>
          <t>DIV-A</t>
        </is>
      </c>
      <c r="C3" s="2" t="inlineStr">
        <is>
          <t>Division A — Core Platform</t>
        </is>
      </c>
      <c r="D3" s="2" t="inlineStr">
        <is>
          <t>OPERATING</t>
        </is>
      </c>
      <c r="E3" s="2" t="inlineStr">
        <is>
          <t>CC-102</t>
        </is>
      </c>
      <c r="F3" s="2" t="inlineStr">
        <is>
          <t>Observability &amp; Telemetry SaaS</t>
        </is>
      </c>
      <c r="G3" s="2" t="inlineStr">
        <is>
          <t>Contractual Infrastructure</t>
        </is>
      </c>
      <c r="H3" s="2" t="n">
        <v>221.99</v>
      </c>
      <c r="I3" s="2" t="n">
        <v>0</v>
      </c>
      <c r="J3" s="2" t="n">
        <v>235.33</v>
      </c>
      <c r="K3" s="2" t="n">
        <v>6.01</v>
      </c>
      <c r="L3" s="2" t="n">
        <v>6.01</v>
      </c>
      <c r="M3" s="2" t="n">
        <v>249.47</v>
      </c>
      <c r="N3" s="2" t="n">
        <v>0</v>
      </c>
      <c r="O3" s="2" t="n">
        <v>249.47</v>
      </c>
      <c r="P3" s="2" t="n">
        <v>0</v>
      </c>
      <c r="Q3" s="2" t="inlineStr">
        <is>
          <t>FALSE</t>
        </is>
      </c>
      <c r="R3" s="2" t="inlineStr">
        <is>
          <t>UNLOCKED</t>
        </is>
      </c>
      <c r="S3" s="5" t="inlineStr">
        <is>
          <t>PROTECTED_NO_CUT</t>
        </is>
      </c>
      <c r="T3" s="2" t="inlineStr">
        <is>
          <t>ADR-0003 enforced: Contractual Infrastructure is protected from automated percentage compression (0.00% cut). [Pass 2 re-run: +1.50% macro driver update applied]</t>
        </is>
      </c>
    </row>
    <row r="4">
      <c r="A4" s="2" t="inlineStr">
        <is>
          <t>LI-03</t>
        </is>
      </c>
      <c r="B4" s="2" t="inlineStr">
        <is>
          <t>DIV-A</t>
        </is>
      </c>
      <c r="C4" s="2" t="inlineStr">
        <is>
          <t>Division A — Core Platform</t>
        </is>
      </c>
      <c r="D4" s="2" t="inlineStr">
        <is>
          <t>OPERATING</t>
        </is>
      </c>
      <c r="E4" s="2" t="inlineStr">
        <is>
          <t>CC-103</t>
        </is>
      </c>
      <c r="F4" s="2" t="inlineStr">
        <is>
          <t>Product Engineering Compensation</t>
        </is>
      </c>
      <c r="G4" s="2" t="inlineStr">
        <is>
          <t>Personnel &amp; Compensation</t>
        </is>
      </c>
      <c r="H4" s="2" t="n">
        <v>1140</v>
      </c>
      <c r="I4" s="2" t="n">
        <v>0</v>
      </c>
      <c r="J4" s="2" t="n">
        <v>1191.28</v>
      </c>
      <c r="K4" s="2" t="n">
        <v>4.5</v>
      </c>
      <c r="L4" s="2" t="n">
        <v>3.5</v>
      </c>
      <c r="M4" s="2" t="n">
        <v>1232.97</v>
      </c>
      <c r="N4" s="6" t="n">
        <v>2.5</v>
      </c>
      <c r="O4" s="6" t="n">
        <v>1246.8</v>
      </c>
      <c r="P4" s="2" t="n">
        <v>0</v>
      </c>
      <c r="Q4" s="2" t="inlineStr">
        <is>
          <t>FALSE</t>
        </is>
      </c>
      <c r="R4" s="6" t="inlineStr">
        <is>
          <t>LOCKED</t>
        </is>
      </c>
      <c r="S4" s="6" t="inlineStr">
        <is>
          <t>HUMAN_LOCKED_APPROVED</t>
        </is>
      </c>
      <c r="T4" s="6" t="inlineStr">
        <is>
          <t>Locked per VP Engineering sign-off: retains 2 principal systems architects for Q2 platform migration.</t>
        </is>
      </c>
    </row>
    <row r="5">
      <c r="A5" s="2" t="inlineStr">
        <is>
          <t>LI-04</t>
        </is>
      </c>
      <c r="B5" s="2" t="inlineStr">
        <is>
          <t>DIV-A</t>
        </is>
      </c>
      <c r="C5" s="2" t="inlineStr">
        <is>
          <t>Division A — Core Platform</t>
        </is>
      </c>
      <c r="D5" s="2" t="inlineStr">
        <is>
          <t>OPERATING</t>
        </is>
      </c>
      <c r="E5" s="2" t="inlineStr">
        <is>
          <t>CC-104</t>
        </is>
      </c>
      <c r="F5" s="2" t="inlineStr">
        <is>
          <t>Developer Sandbox Cloud Burst</t>
        </is>
      </c>
      <c r="G5" s="2" t="inlineStr">
        <is>
          <t>Discretionary Opex</t>
        </is>
      </c>
      <c r="H5" s="2" t="n">
        <v>192</v>
      </c>
      <c r="I5" s="2" t="n">
        <v>0</v>
      </c>
      <c r="J5" s="2" t="n">
        <v>214.08</v>
      </c>
      <c r="K5" s="2" t="n">
        <v>11.5</v>
      </c>
      <c r="L5" s="2" t="n">
        <v>8.4</v>
      </c>
      <c r="M5" s="2" t="n">
        <v>232.06</v>
      </c>
      <c r="N5" s="2" t="n">
        <v>-12</v>
      </c>
      <c r="O5" s="2" t="n">
        <v>204.21</v>
      </c>
      <c r="P5" s="2" t="n">
        <v>0</v>
      </c>
      <c r="Q5" s="2" t="inlineStr">
        <is>
          <t>FALSE</t>
        </is>
      </c>
      <c r="R5" s="2" t="inlineStr">
        <is>
          <t>UNLOCKED</t>
        </is>
      </c>
      <c r="S5" s="2" t="inlineStr">
        <is>
          <t>TIER_1_MAX_CAP_CUT</t>
        </is>
      </c>
      <c r="T5" s="2" t="inlineStr">
        <is>
          <t>ADR-0003 Tier 1 compression (-12.00% cap) triggered by TTM YoY growth &gt;= +8.00%. [Pass 2 re-run: +1.50% macro driver update applied]</t>
        </is>
      </c>
    </row>
    <row r="6">
      <c r="A6" s="2" t="inlineStr">
        <is>
          <t>LI-05</t>
        </is>
      </c>
      <c r="B6" s="2" t="inlineStr">
        <is>
          <t>DIV-A</t>
        </is>
      </c>
      <c r="C6" s="2" t="inlineStr">
        <is>
          <t>Division A — Core Platform</t>
        </is>
      </c>
      <c r="D6" s="2" t="inlineStr">
        <is>
          <t>OPERATING</t>
        </is>
      </c>
      <c r="E6" s="2" t="inlineStr">
        <is>
          <t>CC-105</t>
        </is>
      </c>
      <c r="F6" s="2" t="inlineStr">
        <is>
          <t>SOC2 &amp; ISO Security Audits</t>
        </is>
      </c>
      <c r="G6" s="2" t="inlineStr">
        <is>
          <t>Regulatory Compliance</t>
        </is>
      </c>
      <c r="H6" s="2" t="n">
        <v>132</v>
      </c>
      <c r="I6" s="2" t="n">
        <v>0</v>
      </c>
      <c r="J6" s="2" t="n">
        <v>136.64</v>
      </c>
      <c r="K6" s="2" t="n">
        <v>3.52</v>
      </c>
      <c r="L6" s="2" t="n">
        <v>3.96</v>
      </c>
      <c r="M6" s="2" t="n">
        <v>142.05</v>
      </c>
      <c r="N6" s="2" t="n">
        <v>0</v>
      </c>
      <c r="O6" s="2" t="n">
        <v>142.05</v>
      </c>
      <c r="P6" s="2" t="n">
        <v>0</v>
      </c>
      <c r="Q6" s="2" t="inlineStr">
        <is>
          <t>FALSE</t>
        </is>
      </c>
      <c r="R6" s="2" t="inlineStr">
        <is>
          <t>UNLOCKED</t>
        </is>
      </c>
      <c r="S6" s="5" t="inlineStr">
        <is>
          <t>PROTECTED_NO_CUT</t>
        </is>
      </c>
      <c r="T6" s="2" t="inlineStr">
        <is>
          <t>ADR-0003 enforced: Regulatory Compliance is protected from automated percentage compression (0.00% cut). [Pass 2 re-run: +1.50% macro driver update applied]</t>
        </is>
      </c>
    </row>
    <row r="7">
      <c r="A7" s="2" t="inlineStr">
        <is>
          <t>LI-06</t>
        </is>
      </c>
      <c r="B7" s="2" t="inlineStr">
        <is>
          <t>DIV-A</t>
        </is>
      </c>
      <c r="C7" s="2" t="inlineStr">
        <is>
          <t>Division A — Core Platform</t>
        </is>
      </c>
      <c r="D7" s="2" t="inlineStr">
        <is>
          <t>OPERATING</t>
        </is>
      </c>
      <c r="E7" s="2" t="inlineStr">
        <is>
          <t>CC-106</t>
        </is>
      </c>
      <c r="F7" s="2" t="inlineStr">
        <is>
          <t>External UI/UX Prototyping Studio</t>
        </is>
      </c>
      <c r="G7" s="2" t="inlineStr">
        <is>
          <t>Discretionary Opex</t>
        </is>
      </c>
      <c r="H7" s="2" t="n">
        <v>168</v>
      </c>
      <c r="I7" s="2" t="n">
        <v>0</v>
      </c>
      <c r="J7" s="2" t="n">
        <v>183.95</v>
      </c>
      <c r="K7" s="2" t="n">
        <v>9.49</v>
      </c>
      <c r="L7" s="2" t="n">
        <v>7.19</v>
      </c>
      <c r="M7" s="2" t="n">
        <v>197.18</v>
      </c>
      <c r="N7" s="2" t="n">
        <v>-12</v>
      </c>
      <c r="O7" s="2" t="n">
        <v>173.52</v>
      </c>
      <c r="P7" s="2" t="n">
        <v>0</v>
      </c>
      <c r="Q7" s="2" t="inlineStr">
        <is>
          <t>FALSE</t>
        </is>
      </c>
      <c r="R7" s="2" t="inlineStr">
        <is>
          <t>UNLOCKED</t>
        </is>
      </c>
      <c r="S7" s="2" t="inlineStr">
        <is>
          <t>TIER_1_MAX_CAP_CUT</t>
        </is>
      </c>
      <c r="T7" s="2" t="inlineStr">
        <is>
          <t>ADR-0003 Tier 1 compression (-12.00% cap) triggered by TTM YoY growth &gt;= +8.00%. [Pass 2 re-run: +1.50% macro driver update applied]</t>
        </is>
      </c>
    </row>
    <row r="8">
      <c r="A8" s="2" t="inlineStr">
        <is>
          <t>LI-07</t>
        </is>
      </c>
      <c r="B8" s="2" t="inlineStr">
        <is>
          <t>DIV-A</t>
        </is>
      </c>
      <c r="C8" s="2" t="inlineStr">
        <is>
          <t>Division A — Core Platform</t>
        </is>
      </c>
      <c r="D8" s="2" t="inlineStr">
        <is>
          <t>OPERATING</t>
        </is>
      </c>
      <c r="E8" s="2" t="inlineStr">
        <is>
          <t>CC-107</t>
        </is>
      </c>
      <c r="F8" s="2" t="inlineStr">
        <is>
          <t>API Gateway Bandwidth Commit</t>
        </is>
      </c>
      <c r="G8" s="2" t="inlineStr">
        <is>
          <t>Contractual Infrastructure</t>
        </is>
      </c>
      <c r="H8" s="2" t="n">
        <v>288</v>
      </c>
      <c r="I8" s="2" t="n">
        <v>0</v>
      </c>
      <c r="J8" s="2" t="n">
        <v>302.4</v>
      </c>
      <c r="K8" s="2" t="n">
        <v>5</v>
      </c>
      <c r="L8" s="2" t="n">
        <v>3.75</v>
      </c>
      <c r="M8" s="2" t="n">
        <v>313.74</v>
      </c>
      <c r="N8" s="6" t="n">
        <v>-4</v>
      </c>
      <c r="O8" s="6" t="n">
        <v>298.5</v>
      </c>
      <c r="P8" s="2" t="n">
        <v>0</v>
      </c>
      <c r="Q8" s="2" t="inlineStr">
        <is>
          <t>FALSE</t>
        </is>
      </c>
      <c r="R8" s="6" t="inlineStr">
        <is>
          <t>LOCKED</t>
        </is>
      </c>
      <c r="S8" s="6" t="inlineStr">
        <is>
          <t>HUMAN_LOCKED_APPROVED</t>
        </is>
      </c>
      <c r="T8" s="6" t="inlineStr">
        <is>
          <t>Locked per negotiated multi-year bandwidth addendum signed 2026-09-14.</t>
        </is>
      </c>
    </row>
    <row r="9">
      <c r="A9" s="2" t="inlineStr">
        <is>
          <t>LI-08</t>
        </is>
      </c>
      <c r="B9" s="2" t="inlineStr">
        <is>
          <t>DIV-A</t>
        </is>
      </c>
      <c r="C9" s="2" t="inlineStr">
        <is>
          <t>Division A — Core Platform</t>
        </is>
      </c>
      <c r="D9" s="2" t="inlineStr">
        <is>
          <t>OPERATING</t>
        </is>
      </c>
      <c r="E9" s="2" t="inlineStr">
        <is>
          <t>CC-108</t>
        </is>
      </c>
      <c r="F9" s="2" t="inlineStr">
        <is>
          <t>Technical Documentation Contractors</t>
        </is>
      </c>
      <c r="G9" s="2" t="inlineStr">
        <is>
          <t>Discretionary Opex</t>
        </is>
      </c>
      <c r="H9" s="2" t="n">
        <v>114.01</v>
      </c>
      <c r="I9" s="2" t="n">
        <v>120</v>
      </c>
      <c r="J9" s="2" t="n">
        <v>119.16</v>
      </c>
      <c r="K9" s="2" t="n">
        <v>4.52</v>
      </c>
      <c r="L9" s="2" t="n">
        <v>4.21</v>
      </c>
      <c r="M9" s="2" t="n">
        <v>124.18</v>
      </c>
      <c r="N9" s="2" t="n">
        <v>-6.5</v>
      </c>
      <c r="O9" s="2" t="n">
        <v>116.11</v>
      </c>
      <c r="P9" s="2" t="n">
        <v>0</v>
      </c>
      <c r="Q9" s="2" t="inlineStr">
        <is>
          <t>FALSE</t>
        </is>
      </c>
      <c r="R9" s="2" t="inlineStr">
        <is>
          <t>UNLOCKED</t>
        </is>
      </c>
      <c r="S9" s="2" t="inlineStr">
        <is>
          <t>TIER_2_MODERATE_CUT</t>
        </is>
      </c>
      <c r="T9" s="2" t="inlineStr">
        <is>
          <t>ADR-0003 Tier 2 compression (-6.50%) triggered by TTM YoY growth in [+3.00%, +8.00%). [Pass 2 re-run: +1.50% macro driver update applied]</t>
        </is>
      </c>
    </row>
    <row r="10">
      <c r="A10" s="2" t="inlineStr">
        <is>
          <t>LI-09</t>
        </is>
      </c>
      <c r="B10" s="2" t="inlineStr">
        <is>
          <t>DIV-A</t>
        </is>
      </c>
      <c r="C10" s="2" t="inlineStr">
        <is>
          <t>Division A — Core Platform</t>
        </is>
      </c>
      <c r="D10" s="2" t="inlineStr">
        <is>
          <t>OPERATING</t>
        </is>
      </c>
      <c r="E10" s="2" t="inlineStr">
        <is>
          <t>CC-109</t>
        </is>
      </c>
      <c r="F10" s="2" t="inlineStr">
        <is>
          <t>Quality Assurance Automation Lab</t>
        </is>
      </c>
      <c r="G10" s="2" t="inlineStr">
        <is>
          <t>Discretionary Opex</t>
        </is>
      </c>
      <c r="H10" s="2" t="n">
        <v>144</v>
      </c>
      <c r="I10" s="2" t="n">
        <v>0</v>
      </c>
      <c r="J10" s="2" t="n">
        <v>146.88</v>
      </c>
      <c r="K10" s="2" t="n">
        <v>2</v>
      </c>
      <c r="L10" s="2" t="n">
        <v>3.5</v>
      </c>
      <c r="M10" s="2" t="n">
        <v>152.02</v>
      </c>
      <c r="N10" s="2" t="n">
        <v>-3</v>
      </c>
      <c r="O10" s="2" t="n">
        <v>147.46</v>
      </c>
      <c r="P10" s="2" t="n">
        <v>0</v>
      </c>
      <c r="Q10" s="2" t="inlineStr">
        <is>
          <t>FALSE</t>
        </is>
      </c>
      <c r="R10" s="2" t="inlineStr">
        <is>
          <t>UNLOCKED</t>
        </is>
      </c>
      <c r="S10" s="2" t="inlineStr">
        <is>
          <t>TIER_3_BASELINE_TRIM</t>
        </is>
      </c>
      <c r="T10" s="2" t="inlineStr">
        <is>
          <t>ADR-0003 Tier 3 baseline efficiency trim (-3.00%) applied to low-growth Discretionary Opex. [Pass 2 re-run: +1.50% macro driver update applied]</t>
        </is>
      </c>
    </row>
    <row r="11">
      <c r="A11" s="2" t="inlineStr">
        <is>
          <t>LI-10</t>
        </is>
      </c>
      <c r="B11" s="2" t="inlineStr">
        <is>
          <t>DIV-A</t>
        </is>
      </c>
      <c r="C11" s="2" t="inlineStr">
        <is>
          <t>Division A — Core Platform</t>
        </is>
      </c>
      <c r="D11" s="2" t="inlineStr">
        <is>
          <t>OPERATING</t>
        </is>
      </c>
      <c r="E11" s="2" t="inlineStr">
        <is>
          <t>CC-110</t>
        </is>
      </c>
      <c r="F11" s="2" t="inlineStr">
        <is>
          <t>Site Reliability Engineering Payroll</t>
        </is>
      </c>
      <c r="G11" s="2" t="inlineStr">
        <is>
          <t>Personnel &amp; Compensation</t>
        </is>
      </c>
      <c r="H11" s="2" t="n">
        <v>816</v>
      </c>
      <c r="I11" s="2" t="n">
        <v>0</v>
      </c>
      <c r="J11" s="2" t="n">
        <v>848.65</v>
      </c>
      <c r="K11" s="2" t="n">
        <v>4</v>
      </c>
      <c r="L11" s="2" t="n">
        <v>5</v>
      </c>
      <c r="M11" s="2" t="n">
        <v>891.08</v>
      </c>
      <c r="N11" s="2" t="n">
        <v>0</v>
      </c>
      <c r="O11" s="2" t="n">
        <v>891.08</v>
      </c>
      <c r="P11" s="2" t="n">
        <v>0</v>
      </c>
      <c r="Q11" s="2" t="inlineStr">
        <is>
          <t>FALSE</t>
        </is>
      </c>
      <c r="R11" s="2" t="inlineStr">
        <is>
          <t>UNLOCKED</t>
        </is>
      </c>
      <c r="S11" s="2" t="inlineStr">
        <is>
          <t>ROUTED_TO_HEADCOUNT_SCENARIO</t>
        </is>
      </c>
      <c r="T11" s="2" t="inlineStr">
        <is>
          <t>ADR-0003 enforced: Personnel &amp; Compensation routed to executive headcount scenario modeling. [Pass 2 re-run: +1.50% macro driver update applied]</t>
        </is>
      </c>
    </row>
    <row r="12">
      <c r="A12" s="2" t="inlineStr">
        <is>
          <t>LI-11</t>
        </is>
      </c>
      <c r="B12" s="2" t="inlineStr">
        <is>
          <t>DIV-B</t>
        </is>
      </c>
      <c r="C12" s="2" t="inlineStr">
        <is>
          <t>Division B — Field Operations</t>
        </is>
      </c>
      <c r="D12" s="2" t="inlineStr">
        <is>
          <t>OPERATING</t>
        </is>
      </c>
      <c r="E12" s="2" t="inlineStr">
        <is>
          <t>CC-201</t>
        </is>
      </c>
      <c r="F12" s="2" t="inlineStr">
        <is>
          <t>Regional Commercial Account Payroll</t>
        </is>
      </c>
      <c r="G12" s="2" t="inlineStr">
        <is>
          <t>Personnel &amp; Compensation</t>
        </is>
      </c>
      <c r="H12" s="2" t="n">
        <v>1056</v>
      </c>
      <c r="I12" s="2" t="n">
        <v>0</v>
      </c>
      <c r="J12" s="2" t="n">
        <v>1108.79</v>
      </c>
      <c r="K12" s="2" t="n">
        <v>5</v>
      </c>
      <c r="L12" s="2" t="n">
        <v>5</v>
      </c>
      <c r="M12" s="2" t="n">
        <v>1164.23</v>
      </c>
      <c r="N12" s="2" t="n">
        <v>0</v>
      </c>
      <c r="O12" s="2" t="n">
        <v>1164.23</v>
      </c>
      <c r="P12" s="2" t="n">
        <v>0</v>
      </c>
      <c r="Q12" s="2" t="inlineStr">
        <is>
          <t>FALSE</t>
        </is>
      </c>
      <c r="R12" s="2" t="inlineStr">
        <is>
          <t>UNLOCKED</t>
        </is>
      </c>
      <c r="S12" s="2" t="inlineStr">
        <is>
          <t>ROUTED_TO_HEADCOUNT_SCENARIO</t>
        </is>
      </c>
      <c r="T12" s="2" t="inlineStr">
        <is>
          <t>ADR-0003 enforced: Personnel &amp; Compensation routed to executive headcount scenario modeling. [Pass 2 re-run: +1.50% macro driver update applied]</t>
        </is>
      </c>
    </row>
    <row r="13">
      <c r="A13" s="2" t="inlineStr">
        <is>
          <t>LI-12</t>
        </is>
      </c>
      <c r="B13" s="2" t="inlineStr">
        <is>
          <t>DIV-B</t>
        </is>
      </c>
      <c r="C13" s="2" t="inlineStr">
        <is>
          <t>Division B — Field Operations</t>
        </is>
      </c>
      <c r="D13" s="2" t="inlineStr">
        <is>
          <t>OPERATING</t>
        </is>
      </c>
      <c r="E13" s="2" t="inlineStr">
        <is>
          <t>CC-202</t>
        </is>
      </c>
      <c r="F13" s="2" t="inlineStr">
        <is>
          <t>Trade Show Pavilions</t>
        </is>
      </c>
      <c r="G13" s="2" t="inlineStr">
        <is>
          <t>Discretionary Opex</t>
        </is>
      </c>
      <c r="H13" s="2" t="n">
        <v>264</v>
      </c>
      <c r="I13" s="2" t="n">
        <v>0</v>
      </c>
      <c r="J13" s="2" t="n">
        <v>296.99</v>
      </c>
      <c r="K13" s="2" t="n">
        <v>12.5</v>
      </c>
      <c r="L13" s="2" t="n">
        <v>7.5</v>
      </c>
      <c r="M13" s="2" t="n">
        <v>319.26</v>
      </c>
      <c r="N13" s="6" t="n">
        <v>-8.5</v>
      </c>
      <c r="O13" s="6" t="n">
        <v>286.4</v>
      </c>
      <c r="P13" s="2" t="n">
        <v>0</v>
      </c>
      <c r="Q13" s="2" t="inlineStr">
        <is>
          <t>FALSE</t>
        </is>
      </c>
      <c r="R13" s="6" t="inlineStr">
        <is>
          <t>LOCKED</t>
        </is>
      </c>
      <c r="S13" s="6" t="inlineStr">
        <is>
          <t>HUMAN_LOCKED_APPROVED</t>
        </is>
      </c>
      <c r="T13" s="6" t="inlineStr">
        <is>
          <t>Locked by Field Ops Controller: flagship Q3 commercial summit booth deposit already contracted.</t>
        </is>
      </c>
    </row>
    <row r="14">
      <c r="A14" s="2" t="inlineStr">
        <is>
          <t>LI-13</t>
        </is>
      </c>
      <c r="B14" s="2" t="inlineStr">
        <is>
          <t>DIV-B</t>
        </is>
      </c>
      <c r="C14" s="2" t="inlineStr">
        <is>
          <t>Division B — Field Operations</t>
        </is>
      </c>
      <c r="D14" s="2" t="inlineStr">
        <is>
          <t>OPERATING</t>
        </is>
      </c>
      <c r="E14" s="2" t="inlineStr">
        <is>
          <t>CC-203</t>
        </is>
      </c>
      <c r="F14" s="2" t="inlineStr">
        <is>
          <t>Field Fleet Telematics Leases</t>
        </is>
      </c>
      <c r="G14" s="2" t="inlineStr">
        <is>
          <t>Contractual Infrastructure</t>
        </is>
      </c>
      <c r="H14" s="2" t="n">
        <v>228</v>
      </c>
      <c r="I14" s="2" t="n">
        <v>0</v>
      </c>
      <c r="J14" s="2" t="n">
        <v>234.85</v>
      </c>
      <c r="K14" s="2" t="n">
        <v>3</v>
      </c>
      <c r="L14" s="2" t="n">
        <v>4</v>
      </c>
      <c r="M14" s="2" t="n">
        <v>244.24</v>
      </c>
      <c r="N14" s="2" t="n">
        <v>0</v>
      </c>
      <c r="O14" s="2" t="n">
        <v>244.24</v>
      </c>
      <c r="P14" s="2" t="n">
        <v>0</v>
      </c>
      <c r="Q14" s="2" t="inlineStr">
        <is>
          <t>FALSE</t>
        </is>
      </c>
      <c r="R14" s="2" t="inlineStr">
        <is>
          <t>UNLOCKED</t>
        </is>
      </c>
      <c r="S14" s="5" t="inlineStr">
        <is>
          <t>PROTECTED_NO_CUT</t>
        </is>
      </c>
      <c r="T14" s="2" t="inlineStr">
        <is>
          <t>ADR-0003 enforced: Contractual Infrastructure is protected from automated percentage compression (0.00% cut). [Pass 2 re-run: +1.50% macro driver update applied]</t>
        </is>
      </c>
    </row>
    <row r="15">
      <c r="A15" s="2" t="inlineStr">
        <is>
          <t>LI-14</t>
        </is>
      </c>
      <c r="B15" s="2" t="inlineStr">
        <is>
          <t>DIV-B</t>
        </is>
      </c>
      <c r="C15" s="2" t="inlineStr">
        <is>
          <t>Division B — Field Operations</t>
        </is>
      </c>
      <c r="D15" s="2" t="inlineStr">
        <is>
          <t>OPERATING</t>
        </is>
      </c>
      <c r="E15" s="2" t="inlineStr">
        <is>
          <t>CC-204</t>
        </is>
      </c>
      <c r="F15" s="2" t="inlineStr">
        <is>
          <t>Regional Prospecting Roadshows</t>
        </is>
      </c>
      <c r="G15" s="2" t="inlineStr">
        <is>
          <t>Discretionary Opex</t>
        </is>
      </c>
      <c r="H15" s="2" t="n">
        <v>185.99</v>
      </c>
      <c r="I15" s="2" t="n">
        <v>0</v>
      </c>
      <c r="J15" s="2" t="n">
        <v>202.74</v>
      </c>
      <c r="K15" s="2" t="n">
        <v>9.01</v>
      </c>
      <c r="L15" s="2" t="n">
        <v>6.91</v>
      </c>
      <c r="M15" s="2" t="n">
        <v>216.75</v>
      </c>
      <c r="N15" s="2" t="n">
        <v>-12</v>
      </c>
      <c r="O15" s="2" t="n">
        <v>190.74</v>
      </c>
      <c r="P15" s="2" t="n">
        <v>0</v>
      </c>
      <c r="Q15" s="2" t="inlineStr">
        <is>
          <t>FALSE</t>
        </is>
      </c>
      <c r="R15" s="2" t="inlineStr">
        <is>
          <t>UNLOCKED</t>
        </is>
      </c>
      <c r="S15" s="2" t="inlineStr">
        <is>
          <t>TIER_1_MAX_CAP_CUT</t>
        </is>
      </c>
      <c r="T15" s="2" t="inlineStr">
        <is>
          <t>ADR-0003 Tier 1 compression (-12.00% cap) triggered by TTM YoY growth &gt;= +8.00%. [Pass 2 re-run: +1.50% macro driver update applied]</t>
        </is>
      </c>
    </row>
    <row r="16">
      <c r="A16" s="2" t="inlineStr">
        <is>
          <t>LI-15</t>
        </is>
      </c>
      <c r="B16" s="2" t="inlineStr">
        <is>
          <t>DIV-B</t>
        </is>
      </c>
      <c r="C16" s="2" t="inlineStr">
        <is>
          <t>Division B — Field Operations</t>
        </is>
      </c>
      <c r="D16" s="2" t="inlineStr">
        <is>
          <t>OPERATING</t>
        </is>
      </c>
      <c r="E16" s="2" t="inlineStr">
        <is>
          <t>CC-205</t>
        </is>
      </c>
      <c r="F16" s="2" t="inlineStr">
        <is>
          <t>Channel Partner Enablement Kits</t>
        </is>
      </c>
      <c r="G16" s="2" t="inlineStr">
        <is>
          <t>Discretionary Opex</t>
        </is>
      </c>
      <c r="H16" s="2" t="n">
        <v>156</v>
      </c>
      <c r="I16" s="2" t="n">
        <v>110</v>
      </c>
      <c r="J16" s="2" t="n">
        <v>164.57</v>
      </c>
      <c r="K16" s="2" t="n">
        <v>5.49</v>
      </c>
      <c r="L16" s="2" t="n">
        <v>4.79</v>
      </c>
      <c r="M16" s="2" t="n">
        <v>172.45</v>
      </c>
      <c r="N16" s="2" t="n">
        <v>-6.5</v>
      </c>
      <c r="O16" s="2" t="n">
        <v>161.24</v>
      </c>
      <c r="P16" s="2" t="n">
        <v>0</v>
      </c>
      <c r="Q16" s="2" t="inlineStr">
        <is>
          <t>FALSE</t>
        </is>
      </c>
      <c r="R16" s="2" t="inlineStr">
        <is>
          <t>UNLOCKED</t>
        </is>
      </c>
      <c r="S16" s="2" t="inlineStr">
        <is>
          <t>TIER_2_MODERATE_CUT</t>
        </is>
      </c>
      <c r="T16" s="2" t="inlineStr">
        <is>
          <t>ADR-0003 Tier 2 compression (-6.50%) triggered by TTM YoY growth in [+3.00%, +8.00%). [Pass 2 re-run: +1.50% macro driver update applied]</t>
        </is>
      </c>
    </row>
    <row r="17">
      <c r="A17" s="2" t="inlineStr">
        <is>
          <t>LI-16</t>
        </is>
      </c>
      <c r="B17" s="2" t="inlineStr">
        <is>
          <t>DIV-B</t>
        </is>
      </c>
      <c r="C17" s="2" t="inlineStr">
        <is>
          <t>Division B — Field Operations</t>
        </is>
      </c>
      <c r="D17" s="2" t="inlineStr">
        <is>
          <t>OPERATING</t>
        </is>
      </c>
      <c r="E17" s="2" t="inlineStr">
        <is>
          <t>CC-206</t>
        </is>
      </c>
      <c r="F17" s="2" t="inlineStr">
        <is>
          <t>Export Licensing &amp; Trade Compliance</t>
        </is>
      </c>
      <c r="G17" s="2" t="inlineStr">
        <is>
          <t>Regulatory Compliance</t>
        </is>
      </c>
      <c r="H17" s="2" t="n">
        <v>102.01</v>
      </c>
      <c r="I17" s="2" t="n">
        <v>0</v>
      </c>
      <c r="J17" s="2" t="n">
        <v>104.55</v>
      </c>
      <c r="K17" s="2" t="n">
        <v>2.49</v>
      </c>
      <c r="L17" s="2" t="n">
        <v>3.5</v>
      </c>
      <c r="M17" s="2" t="n">
        <v>108.21</v>
      </c>
      <c r="N17" s="2" t="n">
        <v>0</v>
      </c>
      <c r="O17" s="2" t="n">
        <v>108.21</v>
      </c>
      <c r="P17" s="2" t="n">
        <v>0</v>
      </c>
      <c r="Q17" s="2" t="inlineStr">
        <is>
          <t>FALSE</t>
        </is>
      </c>
      <c r="R17" s="2" t="inlineStr">
        <is>
          <t>UNLOCKED</t>
        </is>
      </c>
      <c r="S17" s="5" t="inlineStr">
        <is>
          <t>PROTECTED_NO_CUT</t>
        </is>
      </c>
      <c r="T17" s="2" t="inlineStr">
        <is>
          <t>ADR-0003 enforced: Regulatory Compliance is protected from automated percentage compression (0.00% cut). [Pass 2 re-run: +1.50% macro driver update applied]</t>
        </is>
      </c>
    </row>
    <row r="18">
      <c r="A18" s="2" t="inlineStr">
        <is>
          <t>LI-17</t>
        </is>
      </c>
      <c r="B18" s="2" t="inlineStr">
        <is>
          <t>DIV-B</t>
        </is>
      </c>
      <c r="C18" s="2" t="inlineStr">
        <is>
          <t>Division B — Field Operations</t>
        </is>
      </c>
      <c r="D18" s="2" t="inlineStr">
        <is>
          <t>OPERATING</t>
        </is>
      </c>
      <c r="E18" s="2" t="inlineStr">
        <is>
          <t>CC-207</t>
        </is>
      </c>
      <c r="F18" s="2" t="inlineStr">
        <is>
          <t>CRM Seat Subscription Tiers</t>
        </is>
      </c>
      <c r="G18" s="2" t="inlineStr">
        <is>
          <t>Contractual Infrastructure</t>
        </is>
      </c>
      <c r="H18" s="2" t="n">
        <v>252</v>
      </c>
      <c r="I18" s="2" t="n">
        <v>0</v>
      </c>
      <c r="J18" s="2" t="n">
        <v>263.36</v>
      </c>
      <c r="K18" s="2" t="n">
        <v>4.51</v>
      </c>
      <c r="L18" s="2" t="n">
        <v>4.88</v>
      </c>
      <c r="M18" s="2" t="n">
        <v>276.21</v>
      </c>
      <c r="N18" s="2" t="n">
        <v>0</v>
      </c>
      <c r="O18" s="2" t="n">
        <v>276.21</v>
      </c>
      <c r="P18" s="2" t="n">
        <v>0</v>
      </c>
      <c r="Q18" s="2" t="inlineStr">
        <is>
          <t>FALSE</t>
        </is>
      </c>
      <c r="R18" s="2" t="inlineStr">
        <is>
          <t>UNLOCKED</t>
        </is>
      </c>
      <c r="S18" s="5" t="inlineStr">
        <is>
          <t>PROTECTED_NO_CUT</t>
        </is>
      </c>
      <c r="T18" s="2" t="inlineStr">
        <is>
          <t>ADR-0003 enforced: Contractual Infrastructure is protected from automated percentage compression (0.00% cut). [Pass 2 re-run: +1.50% macro driver update applied]</t>
        </is>
      </c>
    </row>
    <row r="19">
      <c r="A19" s="2" t="inlineStr">
        <is>
          <t>LI-18</t>
        </is>
      </c>
      <c r="B19" s="2" t="inlineStr">
        <is>
          <t>DIV-B</t>
        </is>
      </c>
      <c r="C19" s="2" t="inlineStr">
        <is>
          <t>Division B — Field Operations</t>
        </is>
      </c>
      <c r="D19" s="2" t="inlineStr">
        <is>
          <t>OPERATING</t>
        </is>
      </c>
      <c r="E19" s="2" t="inlineStr">
        <is>
          <t>CC-208</t>
        </is>
      </c>
      <c r="F19" s="2" t="inlineStr">
        <is>
          <t>Digital Demand Generation Campaigns</t>
        </is>
      </c>
      <c r="G19" s="2" t="inlineStr">
        <is>
          <t>Discretionary Opex</t>
        </is>
      </c>
      <c r="H19" s="2" t="n">
        <v>329.99</v>
      </c>
      <c r="I19" s="2" t="n">
        <v>0</v>
      </c>
      <c r="J19" s="2" t="n">
        <v>364.65</v>
      </c>
      <c r="K19" s="2" t="n">
        <v>10.5</v>
      </c>
      <c r="L19" s="2" t="n">
        <v>6.3</v>
      </c>
      <c r="M19" s="2" t="n">
        <v>387.62</v>
      </c>
      <c r="N19" s="6" t="n">
        <v>-5</v>
      </c>
      <c r="O19" s="6" t="n">
        <v>362.1</v>
      </c>
      <c r="P19" s="2" t="n">
        <v>0</v>
      </c>
      <c r="Q19" s="2" t="inlineStr">
        <is>
          <t>FALSE</t>
        </is>
      </c>
      <c r="R19" s="6" t="inlineStr">
        <is>
          <t>LOCKED</t>
        </is>
      </c>
      <c r="S19" s="6" t="inlineStr">
        <is>
          <t>HUMAN_LOCKED_APPROVED</t>
        </is>
      </c>
      <c r="T19" s="6" t="inlineStr">
        <is>
          <t>Locked per CMO pipeline target: preserves high-intent search campaigns in H1.</t>
        </is>
      </c>
    </row>
    <row r="20">
      <c r="A20" s="2" t="inlineStr">
        <is>
          <t>LI-19</t>
        </is>
      </c>
      <c r="B20" s="2" t="inlineStr">
        <is>
          <t>DIV-B</t>
        </is>
      </c>
      <c r="C20" s="2" t="inlineStr">
        <is>
          <t>Division B — Field Operations</t>
        </is>
      </c>
      <c r="D20" s="2" t="inlineStr">
        <is>
          <t>OPERATING</t>
        </is>
      </c>
      <c r="E20" s="2" t="inlineStr">
        <is>
          <t>CC-209</t>
        </is>
      </c>
      <c r="F20" s="2" t="inlineStr">
        <is>
          <t>Field Solutions Engineering Payroll</t>
        </is>
      </c>
      <c r="G20" s="2" t="inlineStr">
        <is>
          <t>Personnel &amp; Compensation</t>
        </is>
      </c>
      <c r="H20" s="2" t="n">
        <v>648</v>
      </c>
      <c r="I20" s="2" t="n">
        <v>0</v>
      </c>
      <c r="J20" s="2" t="n">
        <v>675.23</v>
      </c>
      <c r="K20" s="2" t="n">
        <v>4.2</v>
      </c>
      <c r="L20" s="2" t="n">
        <v>5</v>
      </c>
      <c r="M20" s="2" t="n">
        <v>708.99</v>
      </c>
      <c r="N20" s="2" t="n">
        <v>0</v>
      </c>
      <c r="O20" s="2" t="n">
        <v>708.99</v>
      </c>
      <c r="P20" s="2" t="n">
        <v>0</v>
      </c>
      <c r="Q20" s="2" t="inlineStr">
        <is>
          <t>FALSE</t>
        </is>
      </c>
      <c r="R20" s="2" t="inlineStr">
        <is>
          <t>UNLOCKED</t>
        </is>
      </c>
      <c r="S20" s="2" t="inlineStr">
        <is>
          <t>ROUTED_TO_HEADCOUNT_SCENARIO</t>
        </is>
      </c>
      <c r="T20" s="2" t="inlineStr">
        <is>
          <t>ADR-0003 enforced: Personnel &amp; Compensation routed to executive headcount scenario modeling. [Pass 2 re-run: +1.50% macro driver update applied]</t>
        </is>
      </c>
    </row>
    <row r="21">
      <c r="A21" s="2" t="inlineStr">
        <is>
          <t>LI-20</t>
        </is>
      </c>
      <c r="B21" s="2" t="inlineStr">
        <is>
          <t>DIV-B</t>
        </is>
      </c>
      <c r="C21" s="2" t="inlineStr">
        <is>
          <t>Division B — Field Operations</t>
        </is>
      </c>
      <c r="D21" s="2" t="inlineStr">
        <is>
          <t>OPERATING</t>
        </is>
      </c>
      <c r="E21" s="2" t="inlineStr">
        <is>
          <t>CC-210</t>
        </is>
      </c>
      <c r="F21" s="2" t="inlineStr">
        <is>
          <t>Hospitality &amp; Client Executive Briefings</t>
        </is>
      </c>
      <c r="G21" s="2" t="inlineStr">
        <is>
          <t>Discretionary Opex</t>
        </is>
      </c>
      <c r="H21" s="2" t="n">
        <v>138</v>
      </c>
      <c r="I21" s="2" t="n">
        <v>0</v>
      </c>
      <c r="J21" s="2" t="n">
        <v>140.48</v>
      </c>
      <c r="K21" s="2" t="n">
        <v>1.8</v>
      </c>
      <c r="L21" s="2" t="n">
        <v>3.5</v>
      </c>
      <c r="M21" s="2" t="n">
        <v>145.4</v>
      </c>
      <c r="N21" s="2" t="n">
        <v>-3</v>
      </c>
      <c r="O21" s="2" t="n">
        <v>141.04</v>
      </c>
      <c r="P21" s="2" t="n">
        <v>0</v>
      </c>
      <c r="Q21" s="2" t="inlineStr">
        <is>
          <t>FALSE</t>
        </is>
      </c>
      <c r="R21" s="2" t="inlineStr">
        <is>
          <t>UNLOCKED</t>
        </is>
      </c>
      <c r="S21" s="2" t="inlineStr">
        <is>
          <t>TIER_3_BASELINE_TRIM</t>
        </is>
      </c>
      <c r="T21" s="2" t="inlineStr">
        <is>
          <t>ADR-0003 Tier 3 baseline efficiency trim (-3.00%) applied to low-growth Discretionary Opex. [Pass 2 re-run: +1.50% macro driver update applied]</t>
        </is>
      </c>
    </row>
    <row r="22">
      <c r="A22" s="2" t="inlineStr">
        <is>
          <t>LI-21</t>
        </is>
      </c>
      <c r="B22" s="2" t="inlineStr">
        <is>
          <t>DIV-C</t>
        </is>
      </c>
      <c r="C22" s="2" t="inlineStr">
        <is>
          <t>Division C — Shared Services</t>
        </is>
      </c>
      <c r="D22" s="2" t="inlineStr">
        <is>
          <t>OPERATING</t>
        </is>
      </c>
      <c r="E22" s="2" t="inlineStr">
        <is>
          <t>CC-301</t>
        </is>
      </c>
      <c r="F22" s="2" t="inlineStr">
        <is>
          <t>Corporate Finance &amp; Legal Payroll</t>
        </is>
      </c>
      <c r="G22" s="2" t="inlineStr">
        <is>
          <t>Personnel &amp; Compensation</t>
        </is>
      </c>
      <c r="H22" s="2" t="n">
        <v>744</v>
      </c>
      <c r="I22" s="2" t="n">
        <v>0</v>
      </c>
      <c r="J22" s="2" t="n">
        <v>772.29</v>
      </c>
      <c r="K22" s="2" t="n">
        <v>3.8</v>
      </c>
      <c r="L22" s="2" t="n">
        <v>5</v>
      </c>
      <c r="M22" s="2" t="n">
        <v>810.9</v>
      </c>
      <c r="N22" s="2" t="n">
        <v>0</v>
      </c>
      <c r="O22" s="2" t="n">
        <v>810.9</v>
      </c>
      <c r="P22" s="2" t="n">
        <v>0</v>
      </c>
      <c r="Q22" s="2" t="inlineStr">
        <is>
          <t>FALSE</t>
        </is>
      </c>
      <c r="R22" s="2" t="inlineStr">
        <is>
          <t>UNLOCKED</t>
        </is>
      </c>
      <c r="S22" s="2" t="inlineStr">
        <is>
          <t>ROUTED_TO_HEADCOUNT_SCENARIO</t>
        </is>
      </c>
      <c r="T22" s="2" t="inlineStr">
        <is>
          <t>ADR-0003 enforced: Personnel &amp; Compensation routed to executive headcount scenario modeling. [Pass 2 re-run: +1.50% macro driver update applied]</t>
        </is>
      </c>
    </row>
    <row r="23">
      <c r="A23" s="2" t="inlineStr">
        <is>
          <t>LI-22</t>
        </is>
      </c>
      <c r="B23" s="2" t="inlineStr">
        <is>
          <t>DIV-C</t>
        </is>
      </c>
      <c r="C23" s="2" t="inlineStr">
        <is>
          <t>Division C — Shared Services</t>
        </is>
      </c>
      <c r="D23" s="2" t="inlineStr">
        <is>
          <t>OPERATING</t>
        </is>
      </c>
      <c r="E23" s="2" t="inlineStr">
        <is>
          <t>CC-302</t>
        </is>
      </c>
      <c r="F23" s="2" t="inlineStr">
        <is>
          <t>ERP Core Licensing</t>
        </is>
      </c>
      <c r="G23" s="2" t="inlineStr">
        <is>
          <t>Contractual Infrastructure</t>
        </is>
      </c>
      <c r="H23" s="2" t="n">
        <v>312</v>
      </c>
      <c r="I23" s="2" t="n">
        <v>0</v>
      </c>
      <c r="J23" s="2" t="n">
        <v>324.48</v>
      </c>
      <c r="K23" s="2" t="n">
        <v>4</v>
      </c>
      <c r="L23" s="2" t="n">
        <v>4.5</v>
      </c>
      <c r="M23" s="2" t="n">
        <v>339.08</v>
      </c>
      <c r="N23" s="2" t="n">
        <v>0</v>
      </c>
      <c r="O23" s="2" t="n">
        <v>339.08</v>
      </c>
      <c r="P23" s="2" t="n">
        <v>0</v>
      </c>
      <c r="Q23" s="2" t="inlineStr">
        <is>
          <t>FALSE</t>
        </is>
      </c>
      <c r="R23" s="2" t="inlineStr">
        <is>
          <t>UNLOCKED</t>
        </is>
      </c>
      <c r="S23" s="5" t="inlineStr">
        <is>
          <t>PROTECTED_NO_CUT</t>
        </is>
      </c>
      <c r="T23" s="2" t="inlineStr">
        <is>
          <t>ADR-0003 enforced: Contractual Infrastructure is protected from automated percentage compression (0.00% cut). [Pass 2 re-run: +1.50% macro driver update applied]</t>
        </is>
      </c>
    </row>
    <row r="24">
      <c r="A24" s="2" t="inlineStr">
        <is>
          <t>LI-23</t>
        </is>
      </c>
      <c r="B24" s="2" t="inlineStr">
        <is>
          <t>DIV-C</t>
        </is>
      </c>
      <c r="C24" s="2" t="inlineStr">
        <is>
          <t>Division C — Shared Services</t>
        </is>
      </c>
      <c r="D24" s="2" t="inlineStr">
        <is>
          <t>OPERATING</t>
        </is>
      </c>
      <c r="E24" s="2" t="inlineStr">
        <is>
          <t>CC-303</t>
        </is>
      </c>
      <c r="F24" s="2" t="inlineStr">
        <is>
          <t>Statutory Tax &amp; External Audit Fees</t>
        </is>
      </c>
      <c r="G24" s="2" t="inlineStr">
        <is>
          <t>Regulatory Compliance</t>
        </is>
      </c>
      <c r="H24" s="2" t="n">
        <v>174</v>
      </c>
      <c r="I24" s="2" t="n">
        <v>0</v>
      </c>
      <c r="J24" s="2" t="n">
        <v>184.43</v>
      </c>
      <c r="K24" s="2" t="n">
        <v>5.99</v>
      </c>
      <c r="L24" s="2" t="n">
        <v>4.19</v>
      </c>
      <c r="M24" s="2" t="n">
        <v>192.16</v>
      </c>
      <c r="N24" s="6" t="n">
        <v>3</v>
      </c>
      <c r="O24" s="6" t="n">
        <v>195.2</v>
      </c>
      <c r="P24" s="2" t="n">
        <v>0</v>
      </c>
      <c r="Q24" s="2" t="inlineStr">
        <is>
          <t>FALSE</t>
        </is>
      </c>
      <c r="R24" s="6" t="inlineStr">
        <is>
          <t>LOCKED</t>
        </is>
      </c>
      <c r="S24" s="6" t="inlineStr">
        <is>
          <t>HUMAN_LOCKED_APPROVED</t>
        </is>
      </c>
      <c r="T24" s="6" t="inlineStr">
        <is>
          <t>Locked per Audit Committee engagement letter covering multi-jurisdiction statutory filings.</t>
        </is>
      </c>
    </row>
    <row r="25">
      <c r="A25" s="2" t="inlineStr">
        <is>
          <t>LI-24</t>
        </is>
      </c>
      <c r="B25" s="2" t="inlineStr">
        <is>
          <t>DIV-C</t>
        </is>
      </c>
      <c r="C25" s="2" t="inlineStr">
        <is>
          <t>Division C — Shared Services</t>
        </is>
      </c>
      <c r="D25" s="2" t="inlineStr">
        <is>
          <t>OPERATING</t>
        </is>
      </c>
      <c r="E25" s="2" t="inlineStr">
        <is>
          <t>CC-304</t>
        </is>
      </c>
      <c r="F25" s="2" t="inlineStr">
        <is>
          <t>Executive Leadership Offsites</t>
        </is>
      </c>
      <c r="G25" s="2" t="inlineStr">
        <is>
          <t>Discretionary Opex</t>
        </is>
      </c>
      <c r="H25" s="2" t="n">
        <v>126</v>
      </c>
      <c r="I25" s="2" t="n">
        <v>0</v>
      </c>
      <c r="J25" s="2" t="n">
        <v>138.35</v>
      </c>
      <c r="K25" s="2" t="n">
        <v>9.800000000000001</v>
      </c>
      <c r="L25" s="2" t="n">
        <v>7.38</v>
      </c>
      <c r="M25" s="2" t="n">
        <v>148.56</v>
      </c>
      <c r="N25" s="2" t="n">
        <v>-12</v>
      </c>
      <c r="O25" s="2" t="n">
        <v>130.73</v>
      </c>
      <c r="P25" s="2" t="n">
        <v>0</v>
      </c>
      <c r="Q25" s="2" t="inlineStr">
        <is>
          <t>FALSE</t>
        </is>
      </c>
      <c r="R25" s="2" t="inlineStr">
        <is>
          <t>UNLOCKED</t>
        </is>
      </c>
      <c r="S25" s="2" t="inlineStr">
        <is>
          <t>TIER_1_MAX_CAP_CUT</t>
        </is>
      </c>
      <c r="T25" s="2" t="inlineStr">
        <is>
          <t>ADR-0003 Tier 1 compression (-12.00% cap) triggered by TTM YoY growth &gt;= +8.00%. [Pass 2 re-run: +1.50% macro driver update applied]</t>
        </is>
      </c>
    </row>
    <row r="26">
      <c r="A26" s="2" t="inlineStr">
        <is>
          <t>LI-25</t>
        </is>
      </c>
      <c r="B26" s="2" t="inlineStr">
        <is>
          <t>DIV-C</t>
        </is>
      </c>
      <c r="C26" s="2" t="inlineStr">
        <is>
          <t>Division C — Shared Services</t>
        </is>
      </c>
      <c r="D26" s="2" t="inlineStr">
        <is>
          <t>OPERATING</t>
        </is>
      </c>
      <c r="E26" s="2" t="inlineStr">
        <is>
          <t>CC-305</t>
        </is>
      </c>
      <c r="F26" s="2" t="inlineStr">
        <is>
          <t>Global Data Privacy Counsel Retainer</t>
        </is>
      </c>
      <c r="G26" s="2" t="inlineStr">
        <is>
          <t>Regulatory Compliance</t>
        </is>
      </c>
      <c r="H26" s="2" t="n">
        <v>108</v>
      </c>
      <c r="I26" s="2" t="n">
        <v>0</v>
      </c>
      <c r="J26" s="2" t="n">
        <v>111.23</v>
      </c>
      <c r="K26" s="2" t="n">
        <v>2.99</v>
      </c>
      <c r="L26" s="2" t="n">
        <v>3.59</v>
      </c>
      <c r="M26" s="2" t="n">
        <v>115.22</v>
      </c>
      <c r="N26" s="2" t="n">
        <v>0</v>
      </c>
      <c r="O26" s="2" t="n">
        <v>115.22</v>
      </c>
      <c r="P26" s="2" t="n">
        <v>0</v>
      </c>
      <c r="Q26" s="2" t="inlineStr">
        <is>
          <t>FALSE</t>
        </is>
      </c>
      <c r="R26" s="2" t="inlineStr">
        <is>
          <t>UNLOCKED</t>
        </is>
      </c>
      <c r="S26" s="5" t="inlineStr">
        <is>
          <t>PROTECTED_NO_CUT</t>
        </is>
      </c>
      <c r="T26" s="2" t="inlineStr">
        <is>
          <t>ADR-0003 enforced: Regulatory Compliance is protected from automated percentage compression (0.00% cut). [Pass 2 re-run: +1.50% macro driver update applied]</t>
        </is>
      </c>
    </row>
    <row r="27">
      <c r="A27" s="2" t="inlineStr">
        <is>
          <t>LI-26</t>
        </is>
      </c>
      <c r="B27" s="2" t="inlineStr">
        <is>
          <t>DIV-C</t>
        </is>
      </c>
      <c r="C27" s="2" t="inlineStr">
        <is>
          <t>Division C — Shared Services</t>
        </is>
      </c>
      <c r="D27" s="2" t="inlineStr">
        <is>
          <t>OPERATING</t>
        </is>
      </c>
      <c r="E27" s="2" t="inlineStr">
        <is>
          <t>CC-306</t>
        </is>
      </c>
      <c r="F27" s="2" t="inlineStr">
        <is>
          <t>Management Consulting Benchmarks</t>
        </is>
      </c>
      <c r="G27" s="2" t="inlineStr">
        <is>
          <t>Discretionary Opex</t>
        </is>
      </c>
      <c r="H27" s="2" t="n">
        <v>204</v>
      </c>
      <c r="I27" s="2" t="n">
        <v>85</v>
      </c>
      <c r="J27" s="2" t="n">
        <v>216.66</v>
      </c>
      <c r="K27" s="2" t="n">
        <v>6.21</v>
      </c>
      <c r="L27" s="2" t="n">
        <v>5.23</v>
      </c>
      <c r="M27" s="2" t="n">
        <v>227.99</v>
      </c>
      <c r="N27" s="2" t="n">
        <v>-6.5</v>
      </c>
      <c r="O27" s="2" t="n">
        <v>213.17</v>
      </c>
      <c r="P27" s="2" t="n">
        <v>0</v>
      </c>
      <c r="Q27" s="2" t="inlineStr">
        <is>
          <t>FALSE</t>
        </is>
      </c>
      <c r="R27" s="2" t="inlineStr">
        <is>
          <t>UNLOCKED</t>
        </is>
      </c>
      <c r="S27" s="2" t="inlineStr">
        <is>
          <t>TIER_2_MODERATE_CUT</t>
        </is>
      </c>
      <c r="T27" s="2" t="inlineStr">
        <is>
          <t>ADR-0003 Tier 2 compression (-6.50%) triggered by TTM YoY growth in [+3.00%, +8.00%). [Pass 2 re-run: +1.50% macro driver update applied]</t>
        </is>
      </c>
    </row>
    <row r="28">
      <c r="A28" s="2" t="inlineStr">
        <is>
          <t>LI-27</t>
        </is>
      </c>
      <c r="B28" s="2" t="inlineStr">
        <is>
          <t>DIV-C</t>
        </is>
      </c>
      <c r="C28" s="2" t="inlineStr">
        <is>
          <t>Division C — Shared Services</t>
        </is>
      </c>
      <c r="D28" s="2" t="inlineStr">
        <is>
          <t>OPERATING</t>
        </is>
      </c>
      <c r="E28" s="2" t="inlineStr">
        <is>
          <t>CC-307</t>
        </is>
      </c>
      <c r="F28" s="2" t="inlineStr">
        <is>
          <t>Workplace Facilities &amp; Security Systems</t>
        </is>
      </c>
      <c r="G28" s="2" t="inlineStr">
        <is>
          <t>Contractual Infrastructure</t>
        </is>
      </c>
      <c r="H28" s="2" t="n">
        <v>276</v>
      </c>
      <c r="I28" s="2" t="n">
        <v>0</v>
      </c>
      <c r="J28" s="2" t="n">
        <v>283.71</v>
      </c>
      <c r="K28" s="2" t="n">
        <v>2.79</v>
      </c>
      <c r="L28" s="2" t="n">
        <v>4</v>
      </c>
      <c r="M28" s="2" t="n">
        <v>295.06</v>
      </c>
      <c r="N28" s="2" t="n">
        <v>0</v>
      </c>
      <c r="O28" s="2" t="n">
        <v>295.06</v>
      </c>
      <c r="P28" s="2" t="n">
        <v>0</v>
      </c>
      <c r="Q28" s="2" t="inlineStr">
        <is>
          <t>FALSE</t>
        </is>
      </c>
      <c r="R28" s="2" t="inlineStr">
        <is>
          <t>UNLOCKED</t>
        </is>
      </c>
      <c r="S28" s="5" t="inlineStr">
        <is>
          <t>PROTECTED_NO_CUT</t>
        </is>
      </c>
      <c r="T28" s="2" t="inlineStr">
        <is>
          <t>ADR-0003 enforced: Contractual Infrastructure is protected from automated percentage compression (0.00% cut). [Pass 2 re-run: +1.50% macro driver update applied]</t>
        </is>
      </c>
    </row>
    <row r="29">
      <c r="A29" s="2" t="inlineStr">
        <is>
          <t>LI-28</t>
        </is>
      </c>
      <c r="B29" s="2" t="inlineStr">
        <is>
          <t>DIV-C</t>
        </is>
      </c>
      <c r="C29" s="2" t="inlineStr">
        <is>
          <t>Division C — Shared Services</t>
        </is>
      </c>
      <c r="D29" s="2" t="inlineStr">
        <is>
          <t>OPERATING</t>
        </is>
      </c>
      <c r="E29" s="2" t="inlineStr">
        <is>
          <t>CC-308</t>
        </is>
      </c>
      <c r="F29" s="2" t="inlineStr">
        <is>
          <t>Internal Learning &amp; Stipend Programs</t>
        </is>
      </c>
      <c r="G29" s="2" t="inlineStr">
        <is>
          <t>Discretionary Opex</t>
        </is>
      </c>
      <c r="H29" s="2" t="n">
        <v>96</v>
      </c>
      <c r="I29" s="2" t="n">
        <v>0</v>
      </c>
      <c r="J29" s="2" t="n">
        <v>97.44</v>
      </c>
      <c r="K29" s="2" t="n">
        <v>1.5</v>
      </c>
      <c r="L29" s="2" t="n">
        <v>3.5</v>
      </c>
      <c r="M29" s="2" t="n">
        <v>100.85</v>
      </c>
      <c r="N29" s="2" t="n">
        <v>-3</v>
      </c>
      <c r="O29" s="2" t="n">
        <v>97.81999999999999</v>
      </c>
      <c r="P29" s="2" t="n">
        <v>0</v>
      </c>
      <c r="Q29" s="2" t="inlineStr">
        <is>
          <t>FALSE</t>
        </is>
      </c>
      <c r="R29" s="2" t="inlineStr">
        <is>
          <t>UNLOCKED</t>
        </is>
      </c>
      <c r="S29" s="2" t="inlineStr">
        <is>
          <t>TIER_3_BASELINE_TRIM</t>
        </is>
      </c>
      <c r="T29" s="2" t="inlineStr">
        <is>
          <t>ADR-0003 Tier 3 baseline efficiency trim (-3.00%) applied to low-growth Discretionary Opex. [Pass 2 re-run: +1.50% macro driver update applied]</t>
        </is>
      </c>
    </row>
    <row r="30">
      <c r="A30" s="2" t="inlineStr">
        <is>
          <t>LI-29</t>
        </is>
      </c>
      <c r="B30" s="2" t="inlineStr">
        <is>
          <t>DIV-C</t>
        </is>
      </c>
      <c r="C30" s="2" t="inlineStr">
        <is>
          <t>Division C — Shared Services</t>
        </is>
      </c>
      <c r="D30" s="2" t="inlineStr">
        <is>
          <t>OPERATING</t>
        </is>
      </c>
      <c r="E30" s="2" t="inlineStr">
        <is>
          <t>CC-309</t>
        </is>
      </c>
      <c r="F30" s="2" t="inlineStr">
        <is>
          <t>Recruiting Agency Placement Retainers</t>
        </is>
      </c>
      <c r="G30" s="2" t="inlineStr">
        <is>
          <t>Discretionary Opex</t>
        </is>
      </c>
      <c r="H30" s="2" t="n">
        <v>180</v>
      </c>
      <c r="I30" s="2" t="n">
        <v>0</v>
      </c>
      <c r="J30" s="2" t="n">
        <v>195.85</v>
      </c>
      <c r="K30" s="2" t="n">
        <v>8.81</v>
      </c>
      <c r="L30" s="2" t="n">
        <v>5.29</v>
      </c>
      <c r="M30" s="2" t="n">
        <v>206.21</v>
      </c>
      <c r="N30" s="6" t="n">
        <v>-10</v>
      </c>
      <c r="O30" s="6" t="n">
        <v>182.7</v>
      </c>
      <c r="P30" s="2" t="n">
        <v>0</v>
      </c>
      <c r="Q30" s="2" t="inlineStr">
        <is>
          <t>FALSE</t>
        </is>
      </c>
      <c r="R30" s="6" t="inlineStr">
        <is>
          <t>LOCKED</t>
        </is>
      </c>
      <c r="S30" s="6" t="inlineStr">
        <is>
          <t>HUMAN_LOCKED_APPROVED</t>
        </is>
      </c>
      <c r="T30" s="6" t="inlineStr">
        <is>
          <t>Locked per CHRO review: retains specialized executive search retainer while insourcing tier-2 roles.</t>
        </is>
      </c>
    </row>
    <row r="31">
      <c r="A31" s="2" t="inlineStr">
        <is>
          <t>LI-30</t>
        </is>
      </c>
      <c r="B31" s="2" t="inlineStr">
        <is>
          <t>DIV-C</t>
        </is>
      </c>
      <c r="C31" s="2" t="inlineStr">
        <is>
          <t>Division C — Shared Services</t>
        </is>
      </c>
      <c r="D31" s="2" t="inlineStr">
        <is>
          <t>OPERATING</t>
        </is>
      </c>
      <c r="E31" s="2" t="inlineStr">
        <is>
          <t>CC-310</t>
        </is>
      </c>
      <c r="F31" s="2" t="inlineStr">
        <is>
          <t>Environmental &amp; Safety Filings</t>
        </is>
      </c>
      <c r="G31" s="2" t="inlineStr">
        <is>
          <t>Regulatory Compliance</t>
        </is>
      </c>
      <c r="H31" s="2" t="n">
        <v>90.01000000000001</v>
      </c>
      <c r="I31" s="2" t="n">
        <v>0</v>
      </c>
      <c r="J31" s="2" t="n">
        <v>92</v>
      </c>
      <c r="K31" s="2" t="n">
        <v>2.21</v>
      </c>
      <c r="L31" s="2" t="n">
        <v>3.5</v>
      </c>
      <c r="M31" s="2" t="n">
        <v>95.22</v>
      </c>
      <c r="N31" s="2" t="n">
        <v>0</v>
      </c>
      <c r="O31" s="2" t="n">
        <v>95.22</v>
      </c>
      <c r="P31" s="2" t="n">
        <v>0</v>
      </c>
      <c r="Q31" s="2" t="inlineStr">
        <is>
          <t>FALSE</t>
        </is>
      </c>
      <c r="R31" s="2" t="inlineStr">
        <is>
          <t>UNLOCKED</t>
        </is>
      </c>
      <c r="S31" s="5" t="inlineStr">
        <is>
          <t>PROTECTED_NO_CUT</t>
        </is>
      </c>
      <c r="T31" s="2" t="inlineStr">
        <is>
          <t>ADR-0003 enforced: Regulatory Compliance is protected from automated percentage compression (0.00% cut). [Pass 2 re-run: +1.50% macro driver update applied]</t>
        </is>
      </c>
    </row>
    <row r="32">
      <c r="A32" s="2" t="inlineStr">
        <is>
          <t>LI-31</t>
        </is>
      </c>
      <c r="B32" s="2" t="inlineStr">
        <is>
          <t>DIV-R</t>
        </is>
      </c>
      <c r="C32" s="2" t="inlineStr">
        <is>
          <t>Designated R&amp;D Reserve</t>
        </is>
      </c>
      <c r="D32" s="2" t="inlineStr">
        <is>
          <t>DESIGNATED_RESERVE</t>
        </is>
      </c>
      <c r="E32" s="2" t="inlineStr">
        <is>
          <t>CC-901</t>
        </is>
      </c>
      <c r="F32" s="2" t="inlineStr">
        <is>
          <t>Next-Gen Autonomous Agent Testbed</t>
        </is>
      </c>
      <c r="G32" s="2" t="inlineStr">
        <is>
          <t>Designated R&amp;D Reserve</t>
        </is>
      </c>
      <c r="H32" s="2" t="n">
        <v>408</v>
      </c>
      <c r="I32" s="2" t="n">
        <v>0</v>
      </c>
      <c r="J32" s="2" t="n">
        <v>436.55</v>
      </c>
      <c r="K32" s="2" t="n">
        <v>7</v>
      </c>
      <c r="L32" s="2" t="n">
        <v>7.1</v>
      </c>
      <c r="M32" s="2" t="n">
        <v>467.55</v>
      </c>
      <c r="N32" s="2" t="n">
        <v>0</v>
      </c>
      <c r="O32" s="2" t="n">
        <v>467.55</v>
      </c>
      <c r="P32" s="2" t="n">
        <v>0</v>
      </c>
      <c r="Q32" s="2" t="inlineStr">
        <is>
          <t>TRUE</t>
        </is>
      </c>
      <c r="R32" s="2" t="inlineStr">
        <is>
          <t>UNLOCKED</t>
        </is>
      </c>
      <c r="S32" s="5" t="inlineStr">
        <is>
          <t>RING_FENCED_NO_SWEEP</t>
        </is>
      </c>
      <c r="T32" s="2" t="inlineStr">
        <is>
          <t>ADR-0002 enforced: Designated R&amp;D Reserve is ring-fenced from operating compression sweeps. [Pass 2 re-run: +1.50% macro driver update applied]</t>
        </is>
      </c>
    </row>
    <row r="33">
      <c r="A33" s="2" t="inlineStr">
        <is>
          <t>LI-32</t>
        </is>
      </c>
      <c r="B33" s="2" t="inlineStr">
        <is>
          <t>DIV-R</t>
        </is>
      </c>
      <c r="C33" s="2" t="inlineStr">
        <is>
          <t>Designated R&amp;D Reserve</t>
        </is>
      </c>
      <c r="D33" s="2" t="inlineStr">
        <is>
          <t>DESIGNATED_RESERVE</t>
        </is>
      </c>
      <c r="E33" s="2" t="inlineStr">
        <is>
          <t>CC-902</t>
        </is>
      </c>
      <c r="F33" s="2" t="inlineStr">
        <is>
          <t>Proprietary Training Compute Reserve</t>
        </is>
      </c>
      <c r="G33" s="2" t="inlineStr">
        <is>
          <t>Designated R&amp;D Reserve</t>
        </is>
      </c>
      <c r="H33" s="2" t="n">
        <v>552</v>
      </c>
      <c r="I33" s="2" t="n">
        <v>0</v>
      </c>
      <c r="J33" s="2" t="n">
        <v>596.1799999999999</v>
      </c>
      <c r="K33" s="2" t="n">
        <v>8</v>
      </c>
      <c r="L33" s="2" t="n">
        <v>7.5</v>
      </c>
      <c r="M33" s="2" t="n">
        <v>640.89</v>
      </c>
      <c r="N33" s="2" t="n">
        <v>0</v>
      </c>
      <c r="O33" s="2" t="n">
        <v>640.89</v>
      </c>
      <c r="P33" s="2" t="n">
        <v>0</v>
      </c>
      <c r="Q33" s="2" t="inlineStr">
        <is>
          <t>TRUE</t>
        </is>
      </c>
      <c r="R33" s="2" t="inlineStr">
        <is>
          <t>UNLOCKED</t>
        </is>
      </c>
      <c r="S33" s="5" t="inlineStr">
        <is>
          <t>RING_FENCED_NO_SWEEP</t>
        </is>
      </c>
      <c r="T33" s="2" t="inlineStr">
        <is>
          <t>ADR-0002 enforced: Designated R&amp;D Reserve is ring-fenced from operating compression sweeps. [Pass 2 re-run: +1.50% macro driver update applied]</t>
        </is>
      </c>
    </row>
    <row r="34">
      <c r="A34" s="2" t="inlineStr">
        <is>
          <t>LI-33</t>
        </is>
      </c>
      <c r="B34" s="2" t="inlineStr">
        <is>
          <t>DIV-R</t>
        </is>
      </c>
      <c r="C34" s="2" t="inlineStr">
        <is>
          <t>Designated R&amp;D Reserve</t>
        </is>
      </c>
      <c r="D34" s="2" t="inlineStr">
        <is>
          <t>DESIGNATED_RESERVE</t>
        </is>
      </c>
      <c r="E34" s="2" t="inlineStr">
        <is>
          <t>CC-903</t>
        </is>
      </c>
      <c r="F34" s="2" t="inlineStr">
        <is>
          <t>Applied AI Research Fellows Payroll</t>
        </is>
      </c>
      <c r="G34" s="2" t="inlineStr">
        <is>
          <t>Personnel &amp; Compensation</t>
        </is>
      </c>
      <c r="H34" s="2" t="n">
        <v>696</v>
      </c>
      <c r="I34" s="2" t="n">
        <v>0</v>
      </c>
      <c r="J34" s="2" t="n">
        <v>730.8</v>
      </c>
      <c r="K34" s="2" t="n">
        <v>5</v>
      </c>
      <c r="L34" s="2" t="n">
        <v>3.5</v>
      </c>
      <c r="M34" s="2" t="n">
        <v>756.38</v>
      </c>
      <c r="N34" s="6" t="n">
        <v>0</v>
      </c>
      <c r="O34" s="6" t="n">
        <v>756</v>
      </c>
      <c r="P34" s="2" t="n">
        <v>0</v>
      </c>
      <c r="Q34" s="2" t="inlineStr">
        <is>
          <t>TRUE</t>
        </is>
      </c>
      <c r="R34" s="6" t="inlineStr">
        <is>
          <t>LOCKED</t>
        </is>
      </c>
      <c r="S34" s="6" t="inlineStr">
        <is>
          <t>HUMAN_LOCKED_RING_FENCED</t>
        </is>
      </c>
      <c r="T34" s="6" t="inlineStr">
        <is>
          <t>Locked per R&amp;D Board Charter: ring-fenced cohort of 6 Applied AI Research Fellows (ADR-0002/0004).</t>
        </is>
      </c>
    </row>
    <row r="35">
      <c r="A35" s="2" t="inlineStr">
        <is>
          <t>LI-34</t>
        </is>
      </c>
      <c r="B35" s="2" t="inlineStr">
        <is>
          <t>DIV-R</t>
        </is>
      </c>
      <c r="C35" s="2" t="inlineStr">
        <is>
          <t>Designated R&amp;D Reserve</t>
        </is>
      </c>
      <c r="D35" s="2" t="inlineStr">
        <is>
          <t>DESIGNATED_RESERVE</t>
        </is>
      </c>
      <c r="E35" s="2" t="inlineStr">
        <is>
          <t>CC-904</t>
        </is>
      </c>
      <c r="F35" s="2" t="inlineStr">
        <is>
          <t>Synthetic Benchmark Dataset Licensing</t>
        </is>
      </c>
      <c r="G35" s="2" t="inlineStr">
        <is>
          <t>Designated R&amp;D Reserve</t>
        </is>
      </c>
      <c r="H35" s="2" t="n">
        <v>234</v>
      </c>
      <c r="I35" s="2" t="n">
        <v>0</v>
      </c>
      <c r="J35" s="2" t="n">
        <v>249.22</v>
      </c>
      <c r="K35" s="2" t="n">
        <v>6.5</v>
      </c>
      <c r="L35" s="2" t="n">
        <v>6.7</v>
      </c>
      <c r="M35" s="2" t="n">
        <v>265.92</v>
      </c>
      <c r="N35" s="2" t="n">
        <v>0</v>
      </c>
      <c r="O35" s="2" t="n">
        <v>265.92</v>
      </c>
      <c r="P35" s="2" t="n">
        <v>0</v>
      </c>
      <c r="Q35" s="2" t="inlineStr">
        <is>
          <t>TRUE</t>
        </is>
      </c>
      <c r="R35" s="2" t="inlineStr">
        <is>
          <t>UNLOCKED</t>
        </is>
      </c>
      <c r="S35" s="5" t="inlineStr">
        <is>
          <t>RING_FENCED_NO_SWEEP</t>
        </is>
      </c>
      <c r="T35" s="2" t="inlineStr">
        <is>
          <t>ADR-0002 enforced: Designated R&amp;D Reserve is ring-fenced from operating compression sweeps. [Pass 2 re-run: +1.50% macro driver update applied]</t>
        </is>
      </c>
    </row>
    <row r="36">
      <c r="A36" s="2" t="inlineStr">
        <is>
          <t>LI-35</t>
        </is>
      </c>
      <c r="B36" s="2" t="inlineStr">
        <is>
          <t>DIV-R</t>
        </is>
      </c>
      <c r="C36" s="2" t="inlineStr">
        <is>
          <t>Designated R&amp;D Reserve</t>
        </is>
      </c>
      <c r="D36" s="2" t="inlineStr">
        <is>
          <t>DESIGNATED_RESERVE</t>
        </is>
      </c>
      <c r="E36" s="2" t="inlineStr">
        <is>
          <t>CC-905</t>
        </is>
      </c>
      <c r="F36" s="2" t="inlineStr">
        <is>
          <t>Experimental Silicon Accelerator Lease</t>
        </is>
      </c>
      <c r="G36" s="2" t="inlineStr">
        <is>
          <t>Contractual Infrastructure</t>
        </is>
      </c>
      <c r="H36" s="2" t="n">
        <v>348</v>
      </c>
      <c r="I36" s="2" t="n">
        <v>0</v>
      </c>
      <c r="J36" s="2" t="n">
        <v>363.64</v>
      </c>
      <c r="K36" s="2" t="n">
        <v>4.49</v>
      </c>
      <c r="L36" s="2" t="n">
        <v>4.87</v>
      </c>
      <c r="M36" s="2" t="n">
        <v>381.35</v>
      </c>
      <c r="N36" s="2" t="n">
        <v>0</v>
      </c>
      <c r="O36" s="2" t="n">
        <v>381.35</v>
      </c>
      <c r="P36" s="2" t="n">
        <v>0</v>
      </c>
      <c r="Q36" s="2" t="inlineStr">
        <is>
          <t>TRUE</t>
        </is>
      </c>
      <c r="R36" s="2" t="inlineStr">
        <is>
          <t>UNLOCKED</t>
        </is>
      </c>
      <c r="S36" s="5" t="inlineStr">
        <is>
          <t>RING_FENCED_NO_SWEEP</t>
        </is>
      </c>
      <c r="T36" s="2" t="inlineStr">
        <is>
          <t>ADR-0002 enforced: Designated R&amp;D Reserve is ring-fenced from operating compression sweeps. [Pass 2 re-run: +1.50% macro driver update applied]</t>
        </is>
      </c>
    </row>
    <row r="37">
      <c r="A37" s="2" t="inlineStr">
        <is>
          <t>LI-36</t>
        </is>
      </c>
      <c r="B37" s="2" t="inlineStr">
        <is>
          <t>DIV-R</t>
        </is>
      </c>
      <c r="C37" s="2" t="inlineStr">
        <is>
          <t>Designated R&amp;D Reserve</t>
        </is>
      </c>
      <c r="D37" s="2" t="inlineStr">
        <is>
          <t>DESIGNATED_RESERVE</t>
        </is>
      </c>
      <c r="E37" s="2" t="inlineStr">
        <is>
          <t>CC-906</t>
        </is>
      </c>
      <c r="F37" s="2" t="inlineStr">
        <is>
          <t>University Research Grant Consortium</t>
        </is>
      </c>
      <c r="G37" s="2" t="inlineStr">
        <is>
          <t>Designated R&amp;D Reserve</t>
        </is>
      </c>
      <c r="H37" s="2" t="n">
        <v>197.99</v>
      </c>
      <c r="I37" s="2" t="n">
        <v>0</v>
      </c>
      <c r="J37" s="2" t="n">
        <v>205.92</v>
      </c>
      <c r="K37" s="2" t="n">
        <v>4.01</v>
      </c>
      <c r="L37" s="2" t="n">
        <v>5</v>
      </c>
      <c r="M37" s="2" t="n">
        <v>216.22</v>
      </c>
      <c r="N37" s="2" t="n">
        <v>0</v>
      </c>
      <c r="O37" s="2" t="n">
        <v>216.22</v>
      </c>
      <c r="P37" s="2" t="n">
        <v>0</v>
      </c>
      <c r="Q37" s="2" t="inlineStr">
        <is>
          <t>TRUE</t>
        </is>
      </c>
      <c r="R37" s="2" t="inlineStr">
        <is>
          <t>UNLOCKED</t>
        </is>
      </c>
      <c r="S37" s="5" t="inlineStr">
        <is>
          <t>RING_FENCED_NO_SWEEP</t>
        </is>
      </c>
      <c r="T37" s="2" t="inlineStr">
        <is>
          <t>ADR-0002 enforced: Designated R&amp;D Reserve is ring-fenced from operating compression sweeps. [Pass 2 re-run: +1.50% macro driver update applied]</t>
        </is>
      </c>
    </row>
    <row r="38">
      <c r="A38" s="3" t="inlineStr">
        <is>
          <t>TOTAL_PORTFOLIO</t>
        </is>
      </c>
      <c r="B38" s="3" t="inlineStr">
        <is>
          <t>ALL</t>
        </is>
      </c>
      <c r="C38" s="3" t="inlineStr">
        <is>
          <t>Total (Operating + Ring-Fenced Reserve)</t>
        </is>
      </c>
      <c r="D38" s="3" t="inlineStr">
        <is>
          <t>CONSOLIDATED</t>
        </is>
      </c>
      <c r="E38" s="3" t="inlineStr">
        <is>
          <t>ALL_CC</t>
        </is>
      </c>
      <c r="F38" s="3" t="inlineStr">
        <is>
          <t>All 36 Cost-Center Line Items</t>
        </is>
      </c>
      <c r="G38" s="3" t="inlineStr">
        <is>
          <t>ALL_CATEGORIES</t>
        </is>
      </c>
      <c r="H38" s="3">
        <f>SUM(H2:H37)</f>
        <v/>
      </c>
      <c r="I38" s="3">
        <f>SUM(I2:I37)</f>
        <v/>
      </c>
      <c r="J38" s="3">
        <f>SUM(J2:J37)</f>
        <v/>
      </c>
      <c r="K38" s="3">
        <f>AVERAGE(K2:K37)</f>
        <v/>
      </c>
      <c r="L38" s="3">
        <f>AVERAGE(L2:L37)</f>
        <v/>
      </c>
      <c r="M38" s="3">
        <f>SUM(M2:M37)</f>
        <v/>
      </c>
      <c r="N38" s="3">
        <f>AVERAGE(N2:N37)</f>
        <v/>
      </c>
      <c r="O38" s="3">
        <f>SUM(O2:O37)</f>
        <v/>
      </c>
      <c r="P38" s="3">
        <f>SUM(P2:P37)</f>
        <v/>
      </c>
      <c r="Q38" s="3" t="inlineStr">
        <is>
          <t>MIXED</t>
        </is>
      </c>
      <c r="R38" s="3" t="inlineStr">
        <is>
          <t>GOVERNED</t>
        </is>
      </c>
      <c r="S38" s="3" t="inlineStr">
        <is>
          <t>PORTFOLIO_TOTAL</t>
        </is>
      </c>
      <c r="T38" s="3" t="inlineStr">
        <is>
          <t>Live Excel formula roll-up verified by Governance Auditor.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4" t="inlineStr">
        <is>
          <t>Governance_Pool_ID</t>
        </is>
      </c>
      <c r="B1" s="4" t="inlineStr">
        <is>
          <t>Division_Or_Pool_Name</t>
        </is>
      </c>
      <c r="C1" s="4" t="inlineStr">
        <is>
          <t>Fund_Type</t>
        </is>
      </c>
      <c r="D1" s="4" t="inlineStr">
        <is>
          <t>Line_Item_Count</t>
        </is>
      </c>
      <c r="E1" s="4" t="inlineStr">
        <is>
          <t>P12M_Recurring_NIU</t>
        </is>
      </c>
      <c r="F1" s="4" t="inlineStr">
        <is>
          <t>TTM_Recurring_NIU</t>
        </is>
      </c>
      <c r="G1" s="4" t="inlineStr">
        <is>
          <t>Rough_Budget_NIU</t>
        </is>
      </c>
      <c r="H1" s="4" t="inlineStr">
        <is>
          <t>Final_Budget_NIU</t>
        </is>
      </c>
      <c r="I1" s="4" t="inlineStr">
        <is>
          <t>Cross_Fund_Transfer_NIU</t>
        </is>
      </c>
      <c r="J1" s="4" t="inlineStr">
        <is>
          <t>ADR_0002_Ring_Fence_Status</t>
        </is>
      </c>
    </row>
    <row r="2">
      <c r="A2" s="2" t="inlineStr">
        <is>
          <t>DIV-A</t>
        </is>
      </c>
      <c r="B2" s="2" t="inlineStr">
        <is>
          <t>Division A — Core Platform</t>
        </is>
      </c>
      <c r="C2" s="2" t="inlineStr">
        <is>
          <t>OPERATING</t>
        </is>
      </c>
      <c r="D2" s="2">
        <f>COUNTIF(FY2027_Budget_Model!B2:B37,"DIV-A")</f>
        <v/>
      </c>
      <c r="E2" s="2">
        <f>SUMIF(FY2027_Budget_Model!B2:B37,"DIV-A",FY2027_Budget_Model!H2:H37)</f>
        <v/>
      </c>
      <c r="F2" s="2">
        <f>SUMIF(FY2027_Budget_Model!B2:B37,"DIV-A",FY2027_Budget_Model!J2:J37)</f>
        <v/>
      </c>
      <c r="G2" s="2">
        <f>SUMIF(FY2027_Budget_Model!B2:B37,"DIV-A",FY2027_Budget_Model!M2:M37)</f>
        <v/>
      </c>
      <c r="H2" s="2">
        <f>SUMIF(FY2027_Budget_Model!B2:B37,"DIV-A",FY2027_Budget_Model!O2:O37)</f>
        <v/>
      </c>
      <c r="I2" s="2">
        <f>SUMIF(FY2027_Budget_Model!B2:B37,"DIV-A",FY2027_Budget_Model!P2:P37)</f>
        <v/>
      </c>
      <c r="J2" s="2" t="inlineStr">
        <is>
          <t>OPERATING_POOL_ELIGIBLE</t>
        </is>
      </c>
    </row>
    <row r="3">
      <c r="A3" s="2" t="inlineStr">
        <is>
          <t>DIV-B</t>
        </is>
      </c>
      <c r="B3" s="2" t="inlineStr">
        <is>
          <t>Division B — Field Operations</t>
        </is>
      </c>
      <c r="C3" s="2" t="inlineStr">
        <is>
          <t>OPERATING</t>
        </is>
      </c>
      <c r="D3" s="2">
        <f>COUNTIF(FY2027_Budget_Model!B2:B37,"DIV-B")</f>
        <v/>
      </c>
      <c r="E3" s="2">
        <f>SUMIF(FY2027_Budget_Model!B2:B37,"DIV-B",FY2027_Budget_Model!H2:H37)</f>
        <v/>
      </c>
      <c r="F3" s="2">
        <f>SUMIF(FY2027_Budget_Model!B2:B37,"DIV-B",FY2027_Budget_Model!J2:J37)</f>
        <v/>
      </c>
      <c r="G3" s="2">
        <f>SUMIF(FY2027_Budget_Model!B2:B37,"DIV-B",FY2027_Budget_Model!M2:M37)</f>
        <v/>
      </c>
      <c r="H3" s="2">
        <f>SUMIF(FY2027_Budget_Model!B2:B37,"DIV-B",FY2027_Budget_Model!O2:O37)</f>
        <v/>
      </c>
      <c r="I3" s="2">
        <f>SUMIF(FY2027_Budget_Model!B2:B37,"DIV-B",FY2027_Budget_Model!P2:P37)</f>
        <v/>
      </c>
      <c r="J3" s="2" t="inlineStr">
        <is>
          <t>OPERATING_POOL_ELIGIBLE</t>
        </is>
      </c>
    </row>
    <row r="4">
      <c r="A4" s="2" t="inlineStr">
        <is>
          <t>DIV-C</t>
        </is>
      </c>
      <c r="B4" s="2" t="inlineStr">
        <is>
          <t>Division C — Shared Services</t>
        </is>
      </c>
      <c r="C4" s="2" t="inlineStr">
        <is>
          <t>OPERATING</t>
        </is>
      </c>
      <c r="D4" s="2">
        <f>COUNTIF(FY2027_Budget_Model!B2:B37,"DIV-C")</f>
        <v/>
      </c>
      <c r="E4" s="2">
        <f>SUMIF(FY2027_Budget_Model!B2:B37,"DIV-C",FY2027_Budget_Model!H2:H37)</f>
        <v/>
      </c>
      <c r="F4" s="2">
        <f>SUMIF(FY2027_Budget_Model!B2:B37,"DIV-C",FY2027_Budget_Model!J2:J37)</f>
        <v/>
      </c>
      <c r="G4" s="2">
        <f>SUMIF(FY2027_Budget_Model!B2:B37,"DIV-C",FY2027_Budget_Model!M2:M37)</f>
        <v/>
      </c>
      <c r="H4" s="2">
        <f>SUMIF(FY2027_Budget_Model!B2:B37,"DIV-C",FY2027_Budget_Model!O2:O37)</f>
        <v/>
      </c>
      <c r="I4" s="2">
        <f>SUMIF(FY2027_Budget_Model!B2:B37,"DIV-C",FY2027_Budget_Model!P2:P37)</f>
        <v/>
      </c>
      <c r="J4" s="2" t="inlineStr">
        <is>
          <t>OPERATING_POOL_ELIGIBLE</t>
        </is>
      </c>
    </row>
    <row r="5">
      <c r="A5" s="3" t="inlineStr">
        <is>
          <t>SUBTOTAL-OP</t>
        </is>
      </c>
      <c r="B5" s="3" t="inlineStr">
        <is>
          <t>Operating Divisions Subtotal (DIV-A + DIV-B + DIV-C)</t>
        </is>
      </c>
      <c r="C5" s="3" t="inlineStr">
        <is>
          <t>OPERATING_POOL</t>
        </is>
      </c>
      <c r="D5" s="3">
        <f>SUM(D2:D4)</f>
        <v/>
      </c>
      <c r="E5" s="3">
        <f>SUM(E2:E4)</f>
        <v/>
      </c>
      <c r="F5" s="3">
        <f>SUM(F2:F4)</f>
        <v/>
      </c>
      <c r="G5" s="3">
        <f>SUM(G2:G4)</f>
        <v/>
      </c>
      <c r="H5" s="3">
        <f>SUM(H2:H4)</f>
        <v/>
      </c>
      <c r="I5" s="3">
        <f>SUM(I2:I4)</f>
        <v/>
      </c>
      <c r="J5" s="3" t="inlineStr">
        <is>
          <t>COMMERCIAL_OPERATING_POOL</t>
        </is>
      </c>
    </row>
    <row r="6">
      <c r="A6" s="2" t="inlineStr">
        <is>
          <t>DIV-R</t>
        </is>
      </c>
      <c r="B6" s="2" t="inlineStr">
        <is>
          <t>Designated R&amp;D Reserve (Ring-Fenced Pool)</t>
        </is>
      </c>
      <c r="C6" s="2" t="inlineStr">
        <is>
          <t>DESIGNATED_RESERVE</t>
        </is>
      </c>
      <c r="D6" s="2">
        <f>COUNTIF(FY2027_Budget_Model!B2:B37,"DIV-R")</f>
        <v/>
      </c>
      <c r="E6" s="2">
        <f>SUMIF(FY2027_Budget_Model!B2:B37,"DIV-R",FY2027_Budget_Model!H2:H37)</f>
        <v/>
      </c>
      <c r="F6" s="2">
        <f>SUMIF(FY2027_Budget_Model!B2:B37,"DIV-R",FY2027_Budget_Model!J2:J37)</f>
        <v/>
      </c>
      <c r="G6" s="2">
        <f>SUMIF(FY2027_Budget_Model!B2:B37,"DIV-R",FY2027_Budget_Model!M2:M37)</f>
        <v/>
      </c>
      <c r="H6" s="2">
        <f>SUMIF(FY2027_Budget_Model!B2:B37,"DIV-R",FY2027_Budget_Model!O2:O37)</f>
        <v/>
      </c>
      <c r="I6" s="2">
        <f>SUMIF(FY2027_Budget_Model!B2:B37,"DIV-R",FY2027_Budget_Model!P2:P37)</f>
        <v/>
      </c>
      <c r="J6" s="2" t="inlineStr">
        <is>
          <t>STRICTLY_RING_FENCED_ADR_0002</t>
        </is>
      </c>
    </row>
    <row r="7">
      <c r="A7" s="3" t="inlineStr">
        <is>
          <t>TOTAL-ENT</t>
        </is>
      </c>
      <c r="B7" s="3" t="inlineStr">
        <is>
          <t>Consolidated Portfolio (Operating + Reserve)</t>
        </is>
      </c>
      <c r="C7" s="3" t="inlineStr">
        <is>
          <t>CONSOLIDATED</t>
        </is>
      </c>
      <c r="D7" s="3">
        <f>D5+D6</f>
        <v/>
      </c>
      <c r="E7" s="3">
        <f>E5+E6</f>
        <v/>
      </c>
      <c r="F7" s="3">
        <f>F5+F6</f>
        <v/>
      </c>
      <c r="G7" s="3">
        <f>G5+G6</f>
        <v/>
      </c>
      <c r="H7" s="3">
        <f>H5+H6</f>
        <v/>
      </c>
      <c r="I7" s="3">
        <f>I5+I6</f>
        <v/>
      </c>
      <c r="J7" s="3" t="inlineStr">
        <is>
          <t>ZERO_CROSS_FUND_SWEEP_VERIFIED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4" t="inlineStr">
        <is>
          <t>ADR_ID</t>
        </is>
      </c>
      <c r="B1" s="4" t="inlineStr">
        <is>
          <t>Policy_Title</t>
        </is>
      </c>
      <c r="C1" s="4" t="inlineStr">
        <is>
          <t>Enforcement_Stage</t>
        </is>
      </c>
      <c r="D1" s="4" t="inlineStr">
        <is>
          <t>Target_Scope</t>
        </is>
      </c>
      <c r="E1" s="4" t="inlineStr">
        <is>
          <t>Verification_Status</t>
        </is>
      </c>
      <c r="F1" s="4" t="inlineStr">
        <is>
          <t>Audit_Evidence_Summary</t>
        </is>
      </c>
    </row>
    <row r="2">
      <c r="A2" t="inlineStr">
        <is>
          <t>ADR-0001</t>
        </is>
      </c>
      <c r="B2" t="inlineStr">
        <is>
          <t>TTM Seasonal Baseline and One-Off Exclusion</t>
        </is>
      </c>
      <c r="C2" t="inlineStr">
        <is>
          <t>Stage 1 &amp; Stage 2</t>
        </is>
      </c>
      <c r="D2" t="inlineStr">
        <is>
          <t>36 Cost Centers (24M Window)</t>
        </is>
      </c>
      <c r="E2" t="inlineStr">
        <is>
          <t>ENFORCED</t>
        </is>
      </c>
      <c r="F2" t="inlineStr">
        <is>
          <t>4 one-off capital spikes (410.00 NIU total; 315.00 NIU in TTM) stripped from recurring baseline.</t>
        </is>
      </c>
    </row>
    <row r="3">
      <c r="A3" t="inlineStr">
        <is>
          <t>ADR-0002</t>
        </is>
      </c>
      <c r="B3" t="inlineStr">
        <is>
          <t>Ring-Fenced Designated Reserve Transfers</t>
        </is>
      </c>
      <c r="C3" t="inlineStr">
        <is>
          <t>Stage 3 &amp; Stage 4</t>
        </is>
      </c>
      <c r="D3" t="inlineStr">
        <is>
          <t>DIV-R (CC-901..CC-906)</t>
        </is>
      </c>
      <c r="E3" t="inlineStr">
        <is>
          <t>ENFORCED</t>
        </is>
      </c>
      <c r="F3" t="inlineStr">
        <is>
          <t>6 Designated R&amp;D Reserve lines segregated with 0.00 NIU cross-fund operating sweeps.</t>
        </is>
      </c>
    </row>
    <row r="4">
      <c r="A4" t="inlineStr">
        <is>
          <t>ADR-0003</t>
        </is>
      </c>
      <c r="B4" t="inlineStr">
        <is>
          <t>Tiered Opex Compression and Protected Lines</t>
        </is>
      </c>
      <c r="C4" t="inlineStr">
        <is>
          <t>Stage 4 (Pass 1 &amp; Pass 2)</t>
        </is>
      </c>
      <c r="D4" t="inlineStr">
        <is>
          <t>29 Unlocked Line Items</t>
        </is>
      </c>
      <c r="E4" t="inlineStr">
        <is>
          <t>ENFORCED</t>
        </is>
      </c>
      <c r="F4" t="inlineStr">
        <is>
          <t>Discretionary cuts capped at -12.00%; Contractual Infrastructure &amp; Compliance held at 0.00% cut; Personnel routed to Headcount Scenario.</t>
        </is>
      </c>
    </row>
    <row r="5">
      <c r="A5" t="inlineStr">
        <is>
          <t>ADR-0004</t>
        </is>
      </c>
      <c r="B5" t="inlineStr">
        <is>
          <t>Non-Destructive Human Override Preservation</t>
        </is>
      </c>
      <c r="C5" t="inlineStr">
        <is>
          <t>Stage 4 (Pass 2 Re-Run)</t>
        </is>
      </c>
      <c r="D5" t="inlineStr">
        <is>
          <t>7 Locked Human Analyst Overrides</t>
        </is>
      </c>
      <c r="E5" t="inlineStr">
        <is>
          <t>ENFORCED</t>
        </is>
      </c>
      <c r="F5" t="inlineStr">
        <is>
          <t>7/7 LOCKED rows preserved 100% verbatim across +1.50% macro re-run; 29/29 UNLOCKED rows dynamically recalculated.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2026-10-23T20:43:04Z</dcterms:created>
  <dcterms:modified xsi:type="dcterms:W3CDTF">2026-10-23T20:43:05Z</dcterms:modified>
</cp:coreProperties>
</file>